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fb64844c64a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ool Directory" sheetId="1" r:id="R184c8e025b2348ba"/>
    <x:sheet xmlns:r="http://schemas.openxmlformats.org/officeDocument/2006/relationships" name="Zone Summary" sheetId="2" r:id="R95f3681d7b6a48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i/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E1E2A"/>
      </x:patternFill>
    </x:fill>
    <x:fill>
      <x:patternFill patternType="solid">
        <x:fgColor rgb="FFF7EEDB"/>
      </x:patternFill>
    </x:fill>
    <x:fill>
      <x:patternFill patternType="solid">
        <x:fgColor rgb="FFC79A3B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2acb1cd97d4641" /><Relationship Type="http://schemas.openxmlformats.org/officeDocument/2006/relationships/theme" Target="/xl/theme/theme1.xml" Id="Rac2f817fec3146cf" /><Relationship Type="http://schemas.openxmlformats.org/officeDocument/2006/relationships/sharedStrings" Target="/xl/sharedStrings.xml" Id="Re637cdca83294e09" /><Relationship Type="http://schemas.openxmlformats.org/officeDocument/2006/relationships/worksheet" Target="/xl/worksheets/sheet1.xml" Id="R184c8e025b2348ba" /><Relationship Type="http://schemas.openxmlformats.org/officeDocument/2006/relationships/worksheet" Target="/xl/worksheets/sheet2.xml" Id="R95f3681d7b6a48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51dcb219d6e45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Schools by Operational Zone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School Count</c:v>
          </c:tx>
          <c:cat>
            <c:strRef>
              <c:f>'Zone Summary'!$A$5:$A$8</c:f>
              <c:strCache>
                <c:ptCount val="0"/>
              </c:strCache>
            </c:strRef>
          </c:cat>
          <c:val>
            <c:numRef>
              <c:f>'Zone Summary'!$B$5:$B$8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1dcb219d6e451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choolDirectoryTable" displayName="SchoolDirectoryTable" ref="A4:J41" headerRowCount="1">
  <x:tableColumns count="10">
    <x:tableColumn id="1" name="S.No."/>
    <x:tableColumn id="2" name="School"/>
    <x:tableColumn id="3" name="Zone"/>
    <x:tableColumn id="4" name="Nearby Cluster"/>
    <x:tableColumn id="5" name="Verified Address"/>
    <x:tableColumn id="6" name="Verification"/>
    <x:tableColumn id="7" name="Operational Notes"/>
    <x:tableColumn id="8" name="Source URL"/>
    <x:tableColumn id="9" name="Google Maps"/>
    <x:tableColumn id="10" name="Dispatch Ready?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6ec22d6ba642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5046b821ce44c16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29" hidden="0" customWidth="1"/>
    <x:col min="4" max="4" width="24" hidden="0" customWidth="1"/>
    <x:col min="5" max="5" width="52" hidden="0" customWidth="1"/>
    <x:col min="6" max="6" width="23" hidden="0" customWidth="1"/>
    <x:col min="7" max="7" width="50" hidden="0" customWidth="1"/>
    <x:col min="8" max="8" width="42" hidden="0" customWidth="1"/>
    <x:col min="9" max="9" width="42" hidden="0" customWidth="1"/>
    <x:col min="10" max="10" width="16" hidden="0" customWidth="1"/>
  </x:cols>
  <x:sheetData>
    <x:row r="1" ht="28" customHeight="1">
      <x:c r="A1" s="5" t="str">
        <x:v>Cup of Excellence 2026 – School Address &amp; Zone Directory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3" t="str">
        <x:v>37 unique schools after removing two duplicate St. Paul's entries and adding Sri Aurobindo + Laxmi Devi Mundra.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4" customHeight="1">
      <x:c r="A4" s="22" t="str">
        <x:v>S.No.</x:v>
      </x:c>
      <x:c r="B4" s="22" t="str">
        <x:v>School</x:v>
      </x:c>
      <x:c r="C4" s="22" t="str">
        <x:v>Zone</x:v>
      </x:c>
      <x:c r="D4" s="22" t="str">
        <x:v>Nearby Cluster</x:v>
      </x:c>
      <x:c r="E4" s="22" t="str">
        <x:v>Verified Address</x:v>
      </x:c>
      <x:c r="F4" s="22" t="str">
        <x:v>Verification</x:v>
      </x:c>
      <x:c r="G4" s="22" t="str">
        <x:v>Operational Notes</x:v>
      </x:c>
      <x:c r="H4" s="22" t="str">
        <x:v>Source URL</x:v>
      </x:c>
      <x:c r="I4" s="22" t="str">
        <x:v>Google Maps</x:v>
      </x:c>
      <x:c r="J4" s="22" t="str">
        <x:v>Dispatch Ready?</x:v>
      </x:c>
    </x:row>
    <x:row r="5">
      <x:c r="A5" s="32" t="n">
        <x:v>1</x:v>
      </x:c>
      <x:c r="B5" s="29" t="str">
        <x:v>St. Paul's Senior Secondary School</x:v>
      </x:c>
      <x:c r="C5" s="29" t="str">
        <x:v>Zone 1 – West &amp; Central-West</x:v>
      </x:c>
      <x:c r="D5" s="29" t="str">
        <x:v>Shastri Nagar</x:v>
      </x:c>
      <x:c r="E5" s="29" t="str">
        <x:v>Near Shastri Circle, Shastri Nagar, Jodhpur, Rajasthan – 342003</x:v>
      </x:c>
      <x:c r="F5" s="32" t="str">
        <x:v>Verified</x:v>
      </x:c>
      <x:c r="G5" s="29" t="str">
        <x:v>Duplicate entries removed; included once.</x:v>
      </x:c>
      <x:c r="H5" s="29" t="str">
        <x:v>https://stpaulsjodhpur.com/</x:v>
      </x:c>
      <x:c r="I5" s="29" t="str">
        <x:v>https://www.google.com/maps/search/?api=1&amp;query=St.+Paul%27s+Senior+Secondary+School%2C+Near+Shastri+Circle%2C+Shastri+Nagar%2C+Jodhpur%2C+Rajasthan+%E2%80%93+342003</x:v>
      </x:c>
      <x:c r="J5" s="32" t="str">
        <x:v>Yes</x:v>
      </x:c>
    </x:row>
    <x:row r="6">
      <x:c r="A6" s="32" t="n">
        <x:v>2</x:v>
      </x:c>
      <x:c r="B6" s="29" t="str">
        <x:v>Bodhi International School</x:v>
      </x:c>
      <x:c r="C6" s="29" t="str">
        <x:v>Zone 3 – East &amp; Cantonment</x:v>
      </x:c>
      <x:c r="D6" s="29" t="str">
        <x:v>Shikargarh</x:v>
      </x:c>
      <x:c r="E6" s="29" t="str">
        <x:v>Mini Market Road, Shikargarh Enclave, Jodhpur, Rajasthan – 342015</x:v>
      </x:c>
      <x:c r="F6" s="32" t="str">
        <x:v>Verified</x:v>
      </x:c>
      <x:c r="G6" s="29" t="str"/>
      <x:c r="H6" s="29" t="str">
        <x:v>https://www.bodhijodhpur.com/contact</x:v>
      </x:c>
      <x:c r="I6" s="29" t="str">
        <x:v>https://www.google.com/maps/search/?api=1&amp;query=Bodhi+International+School%2C+Mini+Market+Road%2C+Shikargarh+Enclave%2C+Jodhpur%2C+Rajasthan+%E2%80%93+342015</x:v>
      </x:c>
      <x:c r="J6" s="32" t="str">
        <x:v>Yes</x:v>
      </x:c>
    </x:row>
    <x:row r="7">
      <x:c r="A7" s="32" t="n">
        <x:v>3</x:v>
      </x:c>
      <x:c r="B7" s="29" t="str">
        <x:v>St. Patrick's Vidya Bhawan Senior Secondary School</x:v>
      </x:c>
      <x:c r="C7" s="29" t="str">
        <x:v>Zone 3 – East &amp; Cantonment</x:v>
      </x:c>
      <x:c r="D7" s="29" t="str">
        <x:v>Railway Stadium / UIT</x:v>
      </x:c>
      <x:c r="E7" s="29" t="str">
        <x:v>Near Railway Stadium, Jodhpur, Rajasthan – 342001</x:v>
      </x:c>
      <x:c r="F7" s="32" t="str">
        <x:v>Verified</x:v>
      </x:c>
      <x:c r="G7" s="29" t="str"/>
      <x:c r="H7" s="29" t="str">
        <x:v>https://spsjodhpur.org/</x:v>
      </x:c>
      <x:c r="I7" s="29" t="str">
        <x:v>https://www.google.com/maps/search/?api=1&amp;query=St.+Patrick%27s+Vidya+Bhawan+Senior+Secondary+School%2C+Near+Railway+Stadium%2C+Jodhpur%2C+Rajasthan+%E2%80%93+342001</x:v>
      </x:c>
      <x:c r="J7" s="32" t="str">
        <x:v>Yes</x:v>
      </x:c>
    </x:row>
    <x:row r="8">
      <x:c r="A8" s="32" t="n">
        <x:v>4</x:v>
      </x:c>
      <x:c r="B8" s="29" t="str">
        <x:v>Lucky International School</x:v>
      </x:c>
      <x:c r="C8" s="29" t="str">
        <x:v>Zone 2 – South</x:v>
      </x:c>
      <x:c r="D8" s="29" t="str">
        <x:v>Kudi Bhagtasni</x:v>
      </x:c>
      <x:c r="E8" s="29" t="str">
        <x:v>Sector 8, Kudi Bhagtasni Housing Board, Jodhpur, Rajasthan – 342005</x:v>
      </x:c>
      <x:c r="F8" s="32" t="str">
        <x:v>Verified</x:v>
      </x:c>
      <x:c r="G8" s="29" t="str"/>
      <x:c r="H8" s="29" t="str">
        <x:v>https://luckyinternationalschool.org/contact.php</x:v>
      </x:c>
      <x:c r="I8" s="29" t="str">
        <x:v>https://www.google.com/maps/search/?api=1&amp;query=Lucky+International+School%2C+Sector+8%2C+Kudi+Bhagtasni+Housing+Board%2C+Jodhpur%2C+Rajasthan+%E2%80%93+342005</x:v>
      </x:c>
      <x:c r="J8" s="32" t="str">
        <x:v>Yes</x:v>
      </x:c>
    </x:row>
    <x:row r="9">
      <x:c r="A9" s="32" t="n">
        <x:v>5</x:v>
      </x:c>
      <x:c r="B9" s="29" t="str">
        <x:v>Chopasni Senior Secondary School</x:v>
      </x:c>
      <x:c r="C9" s="29" t="str">
        <x:v>Zone 1 – West &amp; Central-West</x:v>
      </x:c>
      <x:c r="D9" s="29" t="str">
        <x:v>Chopasni / Gopal Bari</x:v>
      </x:c>
      <x:c r="E9" s="29" t="str">
        <x:v>Chopasni Campus, Chopasni Road, Gopal Bari, Jodhpur, Rajasthan – 342008</x:v>
      </x:c>
      <x:c r="F9" s="32" t="str">
        <x:v>Check PIN</x:v>
      </x:c>
      <x:c r="G9" s="29" t="str">
        <x:v>Locality is confirmed; public listings vary between PIN 342008 and 342009.</x:v>
      </x:c>
      <x:c r="H9" s="29" t="str">
        <x:v>https://targetstudy.com/school/31055/chopasni-senior-sec-school/</x:v>
      </x:c>
      <x:c r="I9" s="29" t="str">
        <x:v>https://www.google.com/maps/search/?api=1&amp;query=Chopasni+Senior+Secondary+School%2C+Chopasni+Campus%2C+Chopasni+Road%2C+Gopal+Bari%2C+Jodhpur%2C+Rajasthan+%E2%80%93+342008</x:v>
      </x:c>
      <x:c r="J9" s="32" t="str">
        <x:v>Yes</x:v>
      </x:c>
    </x:row>
    <x:row r="10">
      <x:c r="A10" s="32" t="n">
        <x:v>6</x:v>
      </x:c>
      <x:c r="B10" s="29" t="str">
        <x:v>Mahaveer Public School</x:v>
      </x:c>
      <x:c r="C10" s="29" t="str">
        <x:v>Zone 3 – East &amp; Cantonment</x:v>
      </x:c>
      <x:c r="D10" s="29" t="str">
        <x:v>Ratanada</x:v>
      </x:c>
      <x:c r="E10" s="29" t="str">
        <x:v>Opposite Ajit Colony, Police Line Road, Ratanada, Jodhpur, Rajasthan – 342001</x:v>
      </x:c>
      <x:c r="F10" s="32" t="str">
        <x:v>Verified</x:v>
      </x:c>
      <x:c r="G10" s="29" t="str"/>
      <x:c r="H10" s="29" t="str">
        <x:v>https://mahaveerpublicschooljodhpur.com/</x:v>
      </x:c>
      <x:c r="I10" s="29" t="str">
        <x:v>https://www.google.com/maps/search/?api=1&amp;query=Mahaveer+Public+School%2C+Opposite+Ajit+Colony%2C+Police+Line+Road%2C+Ratanada%2C+Jodhpur%2C+Rajasthan+%E2%80%93+342001</x:v>
      </x:c>
      <x:c r="J10" s="32" t="str">
        <x:v>Yes</x:v>
      </x:c>
    </x:row>
    <x:row r="11">
      <x:c r="A11" s="32" t="n">
        <x:v>7</x:v>
      </x:c>
      <x:c r="B11" s="29" t="str">
        <x:v>Army Public School (APS), Jodhpur</x:v>
      </x:c>
      <x:c r="C11" s="29" t="str">
        <x:v>Zone 3 – East &amp; Cantonment</x:v>
      </x:c>
      <x:c r="D11" s="29" t="str">
        <x:v>Ajmer Road / Military Area</x:v>
      </x:c>
      <x:c r="E11" s="29" t="str">
        <x:v>Ajmer Road, Near FOL Depot, Jodhpur, Rajasthan – 342015</x:v>
      </x:c>
      <x:c r="F11" s="32" t="str">
        <x:v>Verified</x:v>
      </x:c>
      <x:c r="G11" s="29" t="str"/>
      <x:c r="H11" s="29" t="str">
        <x:v>https://www.apsjodhpur.com/</x:v>
      </x:c>
      <x:c r="I11" s="29" t="str">
        <x:v>https://www.google.com/maps/search/?api=1&amp;query=Army+Public+School+%28APS%29%2C+Jodhpur%2C+Ajmer+Road%2C+Near+FOL+Depot%2C+Jodhpur%2C+Rajasthan+%E2%80%93+342015</x:v>
      </x:c>
      <x:c r="J11" s="32" t="str">
        <x:v>Yes</x:v>
      </x:c>
    </x:row>
    <x:row r="12">
      <x:c r="A12" s="32" t="n">
        <x:v>8</x:v>
      </x:c>
      <x:c r="B12" s="29" t="str">
        <x:v>PM SHRI Kendriya Vidyalaya No. 2 (Army), Jodhpur</x:v>
      </x:c>
      <x:c r="C12" s="29" t="str">
        <x:v>Zone 3 – East &amp; Cantonment</x:v>
      </x:c>
      <x:c r="D12" s="29" t="str">
        <x:v>Saran Nagar / Shikargarh</x:v>
      </x:c>
      <x:c r="E12" s="29" t="str">
        <x:v>Near Konark Auditorium, PO Saran Nagar, Army Area, Shikargarh, Jodhpur, Rajasthan – 342015</x:v>
      </x:c>
      <x:c r="F12" s="32" t="str">
        <x:v>Verified</x:v>
      </x:c>
      <x:c r="G12" s="29" t="str"/>
      <x:c r="H12" s="29" t="str">
        <x:v>https://saras.cbse.gov.in/SARAS/AffiliatedList/AfflicationDetails/1700028</x:v>
      </x:c>
      <x:c r="I12" s="29" t="str">
        <x:v>https://www.google.com/maps/search/?api=1&amp;query=PM+SHRI+Kendriya+Vidyalaya+No.+2+%28Army%29%2C+Jodhpur%2C+Near+Konark+Auditorium%2C+PO+Saran+Nagar%2C+Army+Area%2C+Shikargarh%2C+Jodhpur%2C+Rajasthan+%E2%80%93+342015</x:v>
      </x:c>
      <x:c r="J12" s="32" t="str">
        <x:v>Yes</x:v>
      </x:c>
    </x:row>
    <x:row r="13">
      <x:c r="A13" s="32" t="n">
        <x:v>9</x:v>
      </x:c>
      <x:c r="B13" s="29" t="str">
        <x:v>Rejoice Academy Senior Secondary School</x:v>
      </x:c>
      <x:c r="C13" s="29" t="str">
        <x:v>Zone 4 – North &amp; Outer-East</x:v>
      </x:c>
      <x:c r="D13" s="29" t="str">
        <x:v>Banar</x:v>
      </x:c>
      <x:c r="E13" s="29" t="str">
        <x:v>Banar Road / Banar locality, Jodhpur, Rajasthan</x:v>
      </x:c>
      <x:c r="F13" s="32" t="str">
        <x:v>Locality verified</x:v>
      </x:c>
      <x:c r="G13" s="29" t="str">
        <x:v>Exact plot/street number was not consistently published; confirm before dispatch.</x:v>
      </x:c>
      <x:c r="H13" s="29" t="str">
        <x:v>https://www.justdial.com/Jodhpur/Rejoice-Academy-Senior-Secondary-School-Banar/0291PX291-X291-220328213233-D8H6_BZDET</x:v>
      </x:c>
      <x:c r="I13" s="29" t="str">
        <x:v>https://www.google.com/maps/search/?api=1&amp;query=Rejoice+Academy+Senior+Secondary+School%2C+Banar+Road+%2F+Banar+locality%2C+Jodhpur%2C+Rajasthan</x:v>
      </x:c>
      <x:c r="J13" s="32" t="str">
        <x:v>No</x:v>
      </x:c>
    </x:row>
    <x:row r="14">
      <x:c r="A14" s="32" t="n">
        <x:v>10</x:v>
      </x:c>
      <x:c r="B14" s="29" t="str">
        <x:v>Great Satyam Academy Senior Secondary School</x:v>
      </x:c>
      <x:c r="C14" s="29" t="str">
        <x:v>Zone 4 – North &amp; Outer-East</x:v>
      </x:c>
      <x:c r="D14" s="29" t="str">
        <x:v>Mata Ka Than</x:v>
      </x:c>
      <x:c r="E14" s="29" t="str">
        <x:v>Bapu Nagar, Mata Ka Than, Rawat Nagar, Jodhpur, Rajasthan – 342304</x:v>
      </x:c>
      <x:c r="F14" s="32" t="str">
        <x:v>Verified</x:v>
      </x:c>
      <x:c r="G14" s="29" t="str"/>
      <x:c r="H14" s="29" t="str">
        <x:v>https://greatsatyamacademy.in/contact.php</x:v>
      </x:c>
      <x:c r="I14" s="29" t="str">
        <x:v>https://www.google.com/maps/search/?api=1&amp;query=Great+Satyam+Academy+Senior+Secondary+School%2C+Bapu+Nagar%2C+Mata+Ka+Than%2C+Rawat+Nagar%2C+Jodhpur%2C+Rajasthan+%E2%80%93+342304</x:v>
      </x:c>
      <x:c r="J14" s="32" t="str">
        <x:v>Yes</x:v>
      </x:c>
    </x:row>
    <x:row r="15">
      <x:c r="A15" s="32" t="n">
        <x:v>11</x:v>
      </x:c>
      <x:c r="B15" s="29" t="str">
        <x:v>Maharshi Dayanand Vidhyapeeth Senior Secondary School</x:v>
      </x:c>
      <x:c r="C15" s="29" t="str">
        <x:v>Zone 2 – South</x:v>
      </x:c>
      <x:c r="D15" s="29" t="str">
        <x:v>Basni Phase 1</x:v>
      </x:c>
      <x:c r="E15" s="29" t="str">
        <x:v>K.K. Colony, Near Basni Railway Station, Basni Phase 1, Jodhpur, Rajasthan – 342005</x:v>
      </x:c>
      <x:c r="F15" s="32" t="str">
        <x:v>Verified</x:v>
      </x:c>
      <x:c r="G15" s="29" t="str"/>
      <x:c r="H15" s="29" t="str">
        <x:v>https://www.justdial.com/Jodhpur/Maharshi-Dayanand-Vidhyapeeth-Senior-Secondary-School-Near-Basni-Railway-Station-Basni-Phase-1/0291PX291-X291-230112154045-E6K9_BZDET</x:v>
      </x:c>
      <x:c r="I15" s="29" t="str">
        <x:v>https://www.google.com/maps/search/?api=1&amp;query=Maharshi+Dayanand+Vidhyapeeth+Senior+Secondary+School%2C+K.K.+Colony%2C+Near+Basni+Railway+Station%2C+Basni+Phase+1%2C+Jodhpur%2C+Rajasthan+%E2%80%93+342005</x:v>
      </x:c>
      <x:c r="J15" s="32" t="str">
        <x:v>Yes</x:v>
      </x:c>
    </x:row>
    <x:row r="16">
      <x:c r="A16" s="32" t="n">
        <x:v>12</x:v>
      </x:c>
      <x:c r="B16" s="29" t="str">
        <x:v>Sanskar International School</x:v>
      </x:c>
      <x:c r="C16" s="29" t="str">
        <x:v>Zone 1 – West &amp; Central-West</x:v>
      </x:c>
      <x:c r="D16" s="29" t="str">
        <x:v>Pal–Chopasni Bypass</x:v>
      </x:c>
      <x:c r="E16" s="29" t="str">
        <x:v>Behind Lariya Resorts, Pal–Chopasni Bypass Road, Chopasni, Jodhpur, Rajasthan – 342009</x:v>
      </x:c>
      <x:c r="F16" s="32" t="str">
        <x:v>Verified</x:v>
      </x:c>
      <x:c r="G16" s="29" t="str"/>
      <x:c r="H16" s="29" t="str">
        <x:v>https://saras.cbse.gov.in/SARAS/AffiliatedList/AfflicationDetails/1730363</x:v>
      </x:c>
      <x:c r="I16" s="29" t="str">
        <x:v>https://www.google.com/maps/search/?api=1&amp;query=Sanskar+International+School%2C+Behind+Lariya+Resorts%2C+Pal%E2%80%93Chopasni+Bypass+Road%2C+Chopasni%2C+Jodhpur%2C+Rajasthan+%E2%80%93+342009</x:v>
      </x:c>
      <x:c r="J16" s="32" t="str">
        <x:v>Yes</x:v>
      </x:c>
    </x:row>
    <x:row r="17">
      <x:c r="A17" s="32" t="n">
        <x:v>13</x:v>
      </x:c>
      <x:c r="B17" s="29" t="str">
        <x:v>PM SHRI Kendriya Vidyalaya No. 1 AFS, Jodhpur</x:v>
      </x:c>
      <x:c r="C17" s="29" t="str">
        <x:v>Zone 3 – East &amp; Cantonment</x:v>
      </x:c>
      <x:c r="D17" s="29" t="str">
        <x:v>Air Force Station / Ratanada</x:v>
      </x:c>
      <x:c r="E17" s="29" t="str">
        <x:v>Air Force Station, Ratanada, Jodhpur, Rajasthan</x:v>
      </x:c>
      <x:c r="F17" s="32" t="str">
        <x:v>Verified locality</x:v>
      </x:c>
      <x:c r="G17" s="29" t="str">
        <x:v>Official campus confirmed; verify the postal PIN on the invitation envelope.</x:v>
      </x:c>
      <x:c r="H17" s="29" t="str">
        <x:v>https://no1jodhpurafs.kvs.ac.in/</x:v>
      </x:c>
      <x:c r="I17" s="29" t="str">
        <x:v>https://www.google.com/maps/search/?api=1&amp;query=PM+SHRI+Kendriya+Vidyalaya+No.+1+AFS%2C+Jodhpur%2C+Air+Force+Station%2C+Ratanada%2C+Jodhpur%2C+Rajasthan</x:v>
      </x:c>
      <x:c r="J17" s="32" t="str">
        <x:v>Yes</x:v>
      </x:c>
    </x:row>
    <x:row r="18">
      <x:c r="A18" s="32" t="n">
        <x:v>14</x:v>
      </x:c>
      <x:c r="B18" s="29" t="str">
        <x:v>Apex Senior Secondary School</x:v>
      </x:c>
      <x:c r="C18" s="29" t="str">
        <x:v>Zone 2 – South</x:v>
      </x:c>
      <x:c r="D18" s="29" t="str">
        <x:v>Kudi Bhagtasni</x:v>
      </x:c>
      <x:c r="E18" s="29" t="str">
        <x:v>3/9, Kudi Bhagtasni Housing Board, Jodhpur, Rajasthan – 342005</x:v>
      </x:c>
      <x:c r="F18" s="32" t="str">
        <x:v>Verified</x:v>
      </x:c>
      <x:c r="G18" s="29" t="str"/>
      <x:c r="H18" s="29" t="str">
        <x:v>https://school.careers360.com/schools/apex-senior-secondary-school-kudi-jodhpur</x:v>
      </x:c>
      <x:c r="I18" s="29" t="str">
        <x:v>https://www.google.com/maps/search/?api=1&amp;query=Apex+Senior+Secondary+School%2C+3%2F9%2C+Kudi+Bhagtasni+Housing+Board%2C+Jodhpur%2C+Rajasthan+%E2%80%93+342005</x:v>
      </x:c>
      <x:c r="J18" s="32" t="str">
        <x:v>Yes</x:v>
      </x:c>
    </x:row>
    <x:row r="19">
      <x:c r="A19" s="32" t="n">
        <x:v>15</x:v>
      </x:c>
      <x:c r="B19" s="29" t="str">
        <x:v>Euro International School</x:v>
      </x:c>
      <x:c r="C19" s="29" t="str">
        <x:v>Zone 3 – East &amp; Cantonment</x:v>
      </x:c>
      <x:c r="D19" s="29" t="str">
        <x:v>Uchiyarda / Jaipur Highway</x:v>
      </x:c>
      <x:c r="E19" s="29" t="str">
        <x:v>New Jaipur Highway, Near Shikargarh, Uchiyarda, Jodhpur, Rajasthan – 342027</x:v>
      </x:c>
      <x:c r="F19" s="32" t="str">
        <x:v>Check PIN</x:v>
      </x:c>
      <x:c r="G19" s="29" t="str">
        <x:v>Official contact page shows 342027; some CBSE listings show 342023.</x:v>
      </x:c>
      <x:c r="H19" s="29" t="str">
        <x:v>https://eurointernationaljodhpur.org/contact-us/</x:v>
      </x:c>
      <x:c r="I19" s="29" t="str">
        <x:v>https://www.google.com/maps/search/?api=1&amp;query=Euro+International+School%2C+New+Jaipur+Highway%2C+Near+Shikargarh%2C+Uchiyarda%2C+Jodhpur%2C+Rajasthan+%E2%80%93+342027</x:v>
      </x:c>
      <x:c r="J19" s="32" t="str">
        <x:v>Yes</x:v>
      </x:c>
    </x:row>
    <x:row r="20">
      <x:c r="A20" s="32" t="n">
        <x:v>16</x:v>
      </x:c>
      <x:c r="B20" s="29" t="str">
        <x:v>St. Anthony's Convent School</x:v>
      </x:c>
      <x:c r="C20" s="29" t="str">
        <x:v>Zone 2 – South</x:v>
      </x:c>
      <x:c r="D20" s="29" t="str">
        <x:v>Basni 1st Phase</x:v>
      </x:c>
      <x:c r="E20" s="29" t="str">
        <x:v>Shiv Nagar, Basni 1st Phase, Jodhpur, Rajasthan – 342003</x:v>
      </x:c>
      <x:c r="F20" s="32" t="str">
        <x:v>Verified</x:v>
      </x:c>
      <x:c r="G20" s="29" t="str"/>
      <x:c r="H20" s="29" t="str">
        <x:v>https://anthonitesjdpr.com/</x:v>
      </x:c>
      <x:c r="I20" s="29" t="str">
        <x:v>https://www.google.com/maps/search/?api=1&amp;query=St.+Anthony%27s+Convent+School%2C+Shiv+Nagar%2C+Basni+1st+Phase%2C+Jodhpur%2C+Rajasthan+%E2%80%93+342003</x:v>
      </x:c>
      <x:c r="J20" s="32" t="str">
        <x:v>Yes</x:v>
      </x:c>
    </x:row>
    <x:row r="21">
      <x:c r="A21" s="32" t="n">
        <x:v>17</x:v>
      </x:c>
      <x:c r="B21" s="29" t="str">
        <x:v>Happy Hours School</x:v>
      </x:c>
      <x:c r="C21" s="29" t="str">
        <x:v>Zone 3 – East &amp; Cantonment</x:v>
      </x:c>
      <x:c r="D21" s="29" t="str">
        <x:v>Circuit House / Ajit Colony</x:v>
      </x:c>
      <x:c r="E21" s="29" t="str">
        <x:v>Ajit Bhawan, Circuit House Road, Jodhpur, Rajasthan – 342006</x:v>
      </x:c>
      <x:c r="F21" s="32" t="str">
        <x:v>Check PIN</x:v>
      </x:c>
      <x:c r="G21" s="29" t="str">
        <x:v>Official pages show both 342006 and 342001; locality is confirmed.</x:v>
      </x:c>
      <x:c r="H21" s="29" t="str">
        <x:v>https://happyhoursschool.org/mandatory-disclosure-page.aspx</x:v>
      </x:c>
      <x:c r="I21" s="29" t="str">
        <x:v>https://www.google.com/maps/search/?api=1&amp;query=Happy+Hours+School%2C+Ajit+Bhawan%2C+Circuit+House+Road%2C+Jodhpur%2C+Rajasthan+%E2%80%93+342006</x:v>
      </x:c>
      <x:c r="J21" s="32" t="str">
        <x:v>Yes</x:v>
      </x:c>
    </x:row>
    <x:row r="22">
      <x:c r="A22" s="32" t="n">
        <x:v>18</x:v>
      </x:c>
      <x:c r="B22" s="29" t="str">
        <x:v>G.S. Jangid Memorial School</x:v>
      </x:c>
      <x:c r="C22" s="29" t="str">
        <x:v>Zone 1 – West &amp; Central-West</x:v>
      </x:c>
      <x:c r="D22" s="29" t="str">
        <x:v>Bhujawar / Gangana</x:v>
      </x:c>
      <x:c r="E22" s="29" t="str">
        <x:v>Village Bhujawar, Near Gangana, Doli–Barmer Road, Jodhpur, Rajasthan</x:v>
      </x:c>
      <x:c r="F22" s="32" t="str">
        <x:v>Verified locality</x:v>
      </x:c>
      <x:c r="G22" s="29" t="str">
        <x:v>Confirm PIN before printing bulk invitations.</x:v>
      </x:c>
      <x:c r="H22" s="29" t="str">
        <x:v>https://yellowslate.com/school/jodhpur/g-s-jangid-memorial-school-jodhpur</x:v>
      </x:c>
      <x:c r="I22" s="29" t="str">
        <x:v>https://www.google.com/maps/search/?api=1&amp;query=G.S.+Jangid+Memorial+School%2C+Village+Bhujawar%2C+Near+Gangana%2C+Doli%E2%80%93Barmer+Road%2C+Jodhpur%2C+Rajasthan</x:v>
      </x:c>
      <x:c r="J22" s="32" t="str">
        <x:v>Yes</x:v>
      </x:c>
    </x:row>
    <x:row r="23">
      <x:c r="A23" s="32" t="n">
        <x:v>19</x:v>
      </x:c>
      <x:c r="B23" s="29" t="str">
        <x:v>St. Austin's Senior Secondary School</x:v>
      </x:c>
      <x:c r="C23" s="29" t="str">
        <x:v>Zone 4 – North &amp; Outer-East</x:v>
      </x:c>
      <x:c r="D23" s="29" t="str">
        <x:v>Bhadwasia / RTO</x:v>
      </x:c>
      <x:c r="E23" s="29" t="str">
        <x:v>Shri Ram Nagar, Behind RTO Office, Jodhpur, Rajasthan – 342010</x:v>
      </x:c>
      <x:c r="F23" s="32" t="str">
        <x:v>Verified</x:v>
      </x:c>
      <x:c r="G23" s="29" t="str"/>
      <x:c r="H23" s="29" t="str">
        <x:v>https://staustinsschool.org/guidlines.php</x:v>
      </x:c>
      <x:c r="I23" s="29" t="str">
        <x:v>https://www.google.com/maps/search/?api=1&amp;query=St.+Austin%27s+Senior+Secondary+School%2C+Shri+Ram+Nagar%2C+Behind+RTO+Office%2C+Jodhpur%2C+Rajasthan+%E2%80%93+342010</x:v>
      </x:c>
      <x:c r="J23" s="32" t="str">
        <x:v>Yes</x:v>
      </x:c>
    </x:row>
    <x:row r="24">
      <x:c r="A24" s="32" t="n">
        <x:v>20</x:v>
      </x:c>
      <x:c r="B24" s="29" t="str">
        <x:v>Mayoor Chopasni School</x:v>
      </x:c>
      <x:c r="C24" s="29" t="str">
        <x:v>Zone 1 – West &amp; Central-West</x:v>
      </x:c>
      <x:c r="D24" s="29" t="str">
        <x:v>Chopasni / Gopal Bari</x:v>
      </x:c>
      <x:c r="E24" s="29" t="str">
        <x:v>Chopasni Campus, Chopasni Road, Gopal Bari, Jodhpur, Rajasthan – 342008</x:v>
      </x:c>
      <x:c r="F24" s="32" t="str">
        <x:v>Verified</x:v>
      </x:c>
      <x:c r="G24" s="29" t="str"/>
      <x:c r="H24" s="29" t="str">
        <x:v>https://www.mayoorchopasnischool.org/schoolinfo.aspx</x:v>
      </x:c>
      <x:c r="I24" s="29" t="str">
        <x:v>https://www.google.com/maps/search/?api=1&amp;query=Mayoor+Chopasni+School%2C+Chopasni+Campus%2C+Chopasni+Road%2C+Gopal+Bari%2C+Jodhpur%2C+Rajasthan+%E2%80%93+342008</x:v>
      </x:c>
      <x:c r="J24" s="32" t="str">
        <x:v>Yes</x:v>
      </x:c>
    </x:row>
    <x:row r="25">
      <x:c r="A25" s="32" t="n">
        <x:v>21</x:v>
      </x:c>
      <x:c r="B25" s="29" t="str">
        <x:v>Lucky Bal Niketan Senior Secondary School</x:v>
      </x:c>
      <x:c r="C25" s="29" t="str">
        <x:v>Zone 1 – West &amp; Central-West</x:v>
      </x:c>
      <x:c r="D25" s="29" t="str">
        <x:v>Kamla Nehru Nagar</x:v>
      </x:c>
      <x:c r="E25" s="29" t="str">
        <x:v>1st Extension, Kamla Nehru Nagar, ESI Hospital Road, Jodhpur, Rajasthan – 342008</x:v>
      </x:c>
      <x:c r="F25" s="32" t="str">
        <x:v>Verified</x:v>
      </x:c>
      <x:c r="G25" s="29" t="str">
        <x:v>Used the senior-secondary Kamla Nehru Nagar campus, not the Sojati Gate primary campus.</x:v>
      </x:c>
      <x:c r="H25" s="29" t="str">
        <x:v>https://lbnjodhpur.org/</x:v>
      </x:c>
      <x:c r="I25" s="29" t="str">
        <x:v>https://www.google.com/maps/search/?api=1&amp;query=Lucky+Bal+Niketan+Senior+Secondary+School%2C+1st+Extension%2C+Kamla+Nehru+Nagar%2C+ESI+Hospital+Road%2C+Jodhpur%2C+Rajasthan+%E2%80%93+342008</x:v>
      </x:c>
      <x:c r="J25" s="32" t="str">
        <x:v>Yes</x:v>
      </x:c>
    </x:row>
    <x:row r="26">
      <x:c r="A26" s="32" t="n">
        <x:v>22</x:v>
      </x:c>
      <x:c r="B26" s="29" t="str">
        <x:v>St. Anne's Senior Secondary School</x:v>
      </x:c>
      <x:c r="C26" s="29" t="str">
        <x:v>Zone 2 – South</x:v>
      </x:c>
      <x:c r="D26" s="29" t="str">
        <x:v>Saraswati Nagar / Basni</x:v>
      </x:c>
      <x:c r="E26" s="29" t="str">
        <x:v>Sector B, Saraswati Nagar, Basni, Jodhpur, Rajasthan – 342005</x:v>
      </x:c>
      <x:c r="F26" s="32" t="str">
        <x:v>Verified</x:v>
      </x:c>
      <x:c r="G26" s="29" t="str"/>
      <x:c r="H26" s="29" t="str">
        <x:v>https://stannes.edu.in/</x:v>
      </x:c>
      <x:c r="I26" s="29" t="str">
        <x:v>https://www.google.com/maps/search/?api=1&amp;query=St.+Anne%27s+Senior+Secondary+School%2C+Sector+B%2C+Saraswati+Nagar%2C+Basni%2C+Jodhpur%2C+Rajasthan+%E2%80%93+342005</x:v>
      </x:c>
      <x:c r="J26" s="32" t="str">
        <x:v>Yes</x:v>
      </x:c>
    </x:row>
    <x:row r="27">
      <x:c r="A27" s="32" t="n">
        <x:v>23</x:v>
      </x:c>
      <x:c r="B27" s="29" t="str">
        <x:v>Orchids Central School of Excellence</x:v>
      </x:c>
      <x:c r="C27" s="29" t="str">
        <x:v>Zone 1 – West &amp; Central-West</x:v>
      </x:c>
      <x:c r="D27" s="29" t="str">
        <x:v>Shastri Nagar (provisional)</x:v>
      </x:c>
      <x:c r="E27" s="29" t="str">
        <x:v>C-27, Shastri Nagar, Jodhpur, Rajasthan – 342001</x:v>
      </x:c>
      <x:c r="F27" s="32" t="str">
        <x:v>Branch confirmation needed</x:v>
      </x:c>
      <x:c r="G27" s="29" t="str">
        <x:v>OCSE has multiple Jodhpur campuses. This row uses the Shastri Nagar campus because the submitted name did not specify a branch.</x:v>
      </x:c>
      <x:c r="H27" s="29" t="str">
        <x:v>https://www.ocsesn.in/</x:v>
      </x:c>
      <x:c r="I27" s="29" t="str">
        <x:v>https://www.google.com/maps/search/?api=1&amp;query=Orchids+Central+School+of+Excellence%2C+C-27%2C+Shastri+Nagar%2C+Jodhpur%2C+Rajasthan+%E2%80%93+342001</x:v>
      </x:c>
      <x:c r="J27" s="32" t="str">
        <x:v>No</x:v>
      </x:c>
    </x:row>
    <x:row r="28">
      <x:c r="A28" s="32" t="n">
        <x:v>24</x:v>
      </x:c>
      <x:c r="B28" s="29" t="str">
        <x:v>Sardar Doon Public School</x:v>
      </x:c>
      <x:c r="C28" s="29" t="str">
        <x:v>Zone 1 – West &amp; Central-West</x:v>
      </x:c>
      <x:c r="D28" s="29" t="str">
        <x:v>Sardarpura / Jalori Gate</x:v>
      </x:c>
      <x:c r="E28" s="29" t="str">
        <x:v>Sardar School Campus, Sardarpura; CBSE postal address: Eidgah Road, Jalori Gate, Jodhpur – 342001</x:v>
      </x:c>
      <x:c r="F28" s="32" t="str">
        <x:v>Verified</x:v>
      </x:c>
      <x:c r="G28" s="29" t="str">
        <x:v>Two official address styles refer to the same central Jodhpur campus.</x:v>
      </x:c>
      <x:c r="H28" s="29" t="str">
        <x:v>https://www.sardardoonschool.com/contact.php</x:v>
      </x:c>
      <x:c r="I28" s="29" t="str">
        <x:v>https://www.google.com/maps/search/?api=1&amp;query=Sardar+Doon+Public+School%2C+Sardar+School+Campus%2C+Sardarpura%3B+CBSE+postal+address%3A+Eidgah+Road%2C+Jalori+Gate%2C+Jodhpur+%E2%80%93+342001</x:v>
      </x:c>
      <x:c r="J28" s="32" t="str">
        <x:v>Yes</x:v>
      </x:c>
    </x:row>
    <x:row r="29">
      <x:c r="A29" s="32" t="n">
        <x:v>25</x:v>
      </x:c>
      <x:c r="B29" s="29" t="str">
        <x:v>Aditya Birla Public School</x:v>
      </x:c>
      <x:c r="C29" s="29" t="str">
        <x:v>Zone 4 – North &amp; Outer-East</x:v>
      </x:c>
      <x:c r="D29" s="29" t="str">
        <x:v>Kharia Khangar / Bhopalgarh</x:v>
      </x:c>
      <x:c r="E29" s="29" t="str">
        <x:v>Rajashree Nagar, Kharia Khangar, Tehsil Bhopalgarh, District Jodhpur, Rajasthan – 342606</x:v>
      </x:c>
      <x:c r="F29" s="32" t="str">
        <x:v>Verified</x:v>
      </x:c>
      <x:c r="G29" s="29" t="str">
        <x:v>Remote outlier outside urban Jodhpur; schedule as a separate trip.</x:v>
      </x:c>
      <x:c r="H29" s="29" t="str">
        <x:v>https://www.adityabirlaschools.co.in/schools/kharia-khangar-rajasthan/contact-us/</x:v>
      </x:c>
      <x:c r="I29" s="29" t="str">
        <x:v>https://www.google.com/maps/search/?api=1&amp;query=Aditya+Birla+Public+School%2C+Rajashree+Nagar%2C+Kharia+Khangar%2C+Tehsil+Bhopalgarh%2C+District+Jodhpur%2C+Rajasthan+%E2%80%93+342606</x:v>
      </x:c>
      <x:c r="J29" s="32" t="str">
        <x:v>Yes</x:v>
      </x:c>
    </x:row>
    <x:row r="30">
      <x:c r="A30" s="32" t="n">
        <x:v>26</x:v>
      </x:c>
      <x:c r="B30" s="29" t="str">
        <x:v>Nirmal Public School</x:v>
      </x:c>
      <x:c r="C30" s="29" t="str">
        <x:v>Pending verification</x:v>
      </x:c>
      <x:c r="D30" s="29" t="str">
        <x:v>Unknown</x:v>
      </x:c>
      <x:c r="E30" s="29" t="str">
        <x:v>No reliably verifiable Jodhpur campus found under this exact name.</x:v>
      </x:c>
      <x:c r="F30" s="32" t="str">
        <x:v>Unverified</x:v>
      </x:c>
      <x:c r="G30" s="29" t="str">
        <x:v>Do not print or dispatch until the correct school/branch name is confirmed.</x:v>
      </x:c>
      <x:c r="H30" s="29" t="str"/>
      <x:c r="I30" s="29" t="str">
        <x:v>https://www.google.com/maps/search/?api=1&amp;query=Nirmal+Public+School%2C+No+reliably+verifiable+Jodhpur+campus+found+under+this+exact+name.</x:v>
      </x:c>
      <x:c r="J30" s="32" t="str">
        <x:v>No</x:v>
      </x:c>
    </x:row>
    <x:row r="31">
      <x:c r="A31" s="32" t="n">
        <x:v>27</x:v>
      </x:c>
      <x:c r="B31" s="29" t="str">
        <x:v>PM SHRI Kendriya Vidyalaya No. 2 AFS, Jodhpur</x:v>
      </x:c>
      <x:c r="C31" s="29" t="str">
        <x:v>Zone 3 – East &amp; Cantonment</x:v>
      </x:c>
      <x:c r="D31" s="29" t="str">
        <x:v>Air Force Station / Ratanada</x:v>
      </x:c>
      <x:c r="E31" s="29" t="str">
        <x:v>Air Force Station, Ratanada, Jodhpur, Rajasthan</x:v>
      </x:c>
      <x:c r="F31" s="32" t="str">
        <x:v>Verified locality</x:v>
      </x:c>
      <x:c r="G31" s="29" t="str">
        <x:v>Official campus confirmed; verify the postal PIN on the invitation envelope.</x:v>
      </x:c>
      <x:c r="H31" s="29" t="str">
        <x:v>https://no2jodhpurafs.kvs.ac.in/</x:v>
      </x:c>
      <x:c r="I31" s="29" t="str">
        <x:v>https://www.google.com/maps/search/?api=1&amp;query=PM+SHRI+Kendriya+Vidyalaya+No.+2+AFS%2C+Jodhpur%2C+Air+Force+Station%2C+Ratanada%2C+Jodhpur%2C+Rajasthan</x:v>
      </x:c>
      <x:c r="J31" s="32" t="str">
        <x:v>Yes</x:v>
      </x:c>
    </x:row>
    <x:row r="32">
      <x:c r="A32" s="32" t="n">
        <x:v>28</x:v>
      </x:c>
      <x:c r="B32" s="29" t="str">
        <x:v>Vidhyashram International School</x:v>
      </x:c>
      <x:c r="C32" s="29" t="str">
        <x:v>Zone 3 – East &amp; Cantonment</x:v>
      </x:c>
      <x:c r="D32" s="29" t="str">
        <x:v>Uchiyarda / Defence Lab Road</x:v>
      </x:c>
      <x:c r="E32" s="29" t="str">
        <x:v>Defence Lab Road, Ahead of Shikargarh Mini Market, Uchiyarda / Nandri Kallan, Jodhpur, Rajasthan – 342015</x:v>
      </x:c>
      <x:c r="F32" s="32" t="str">
        <x:v>Verified</x:v>
      </x:c>
      <x:c r="G32" s="29" t="str"/>
      <x:c r="H32" s="29" t="str">
        <x:v>https://vidhyashram.edu.in/</x:v>
      </x:c>
      <x:c r="I32" s="29" t="str">
        <x:v>https://www.google.com/maps/search/?api=1&amp;query=Vidhyashram+International+School%2C+Defence+Lab+Road%2C+Ahead+of+Shikargarh+Mini+Market%2C+Uchiyarda+%2F+Nandri+Kallan%2C+Jodhpur%2C+Rajasthan+%E2%80%93+342015</x:v>
      </x:c>
      <x:c r="J32" s="32" t="str">
        <x:v>Yes</x:v>
      </x:c>
    </x:row>
    <x:row r="33">
      <x:c r="A33" s="32" t="n">
        <x:v>29</x:v>
      </x:c>
      <x:c r="B33" s="29" t="str">
        <x:v>B.R. Birla Public School</x:v>
      </x:c>
      <x:c r="C33" s="29" t="str">
        <x:v>Zone 1 – West &amp; Central-West</x:v>
      </x:c>
      <x:c r="D33" s="29" t="str">
        <x:v>Chokha / Jhanwar Road</x:v>
      </x:c>
      <x:c r="E33" s="29" t="str">
        <x:v>Beyond CHB, Katariya Chokha, Gopal Bari, Jhanwar Road, Green Park, Jodhpur, Rajasthan – 342008</x:v>
      </x:c>
      <x:c r="F33" s="32" t="str">
        <x:v>Verified</x:v>
      </x:c>
      <x:c r="G33" s="29" t="str"/>
      <x:c r="H33" s="29" t="str">
        <x:v>https://brbirlaschool.com/</x:v>
      </x:c>
      <x:c r="I33" s="29" t="str">
        <x:v>https://www.google.com/maps/search/?api=1&amp;query=B.R.+Birla+Public+School%2C+Beyond+CHB%2C+Katariya+Chokha%2C+Gopal+Bari%2C+Jhanwar+Road%2C+Green+Park%2C+Jodhpur%2C+Rajasthan+%E2%80%93+342008</x:v>
      </x:c>
      <x:c r="J33" s="32" t="str">
        <x:v>Yes</x:v>
      </x:c>
    </x:row>
    <x:row r="34">
      <x:c r="A34" s="32" t="n">
        <x:v>30</x:v>
      </x:c>
      <x:c r="B34" s="29" t="str">
        <x:v>Brigadier Zabar Singh Senior Secondary Public School</x:v>
      </x:c>
      <x:c r="C34" s="29" t="str">
        <x:v>Zone 4 – North &amp; Outer-East</x:v>
      </x:c>
      <x:c r="D34" s="29" t="str">
        <x:v>BJS Colony</x:v>
      </x:c>
      <x:c r="E34" s="29" t="str">
        <x:v>Road No. 1, Mohan A, Near Lancer Line Railway Crossing, BJS Colony, Jodhpur, Rajasthan – 342006</x:v>
      </x:c>
      <x:c r="F34" s="32" t="str">
        <x:v>Verified</x:v>
      </x:c>
      <x:c r="G34" s="29" t="str"/>
      <x:c r="H34" s="29" t="str">
        <x:v>https://www.bzsschool.in/</x:v>
      </x:c>
      <x:c r="I34" s="29" t="str">
        <x:v>https://www.google.com/maps/search/?api=1&amp;query=Brigadier+Zabar+Singh+Senior+Secondary+Public+School%2C+Road+No.+1%2C+Mohan+A%2C+Near+Lancer+Line+Railway+Crossing%2C+BJS+Colony%2C+Jodhpur%2C+Rajasthan+%E2%80%93+342006</x:v>
      </x:c>
      <x:c r="J34" s="32" t="str">
        <x:v>Yes</x:v>
      </x:c>
    </x:row>
    <x:row r="35">
      <x:c r="A35" s="32" t="n">
        <x:v>31</x:v>
      </x:c>
      <x:c r="B35" s="29" t="str">
        <x:v>Delhi Public School (DPS), Jodhpur</x:v>
      </x:c>
      <x:c r="C35" s="29" t="str">
        <x:v>Zone 2 – South</x:v>
      </x:c>
      <x:c r="D35" s="29" t="str">
        <x:v>Pali Road / Jhalamand</x:v>
      </x:c>
      <x:c r="E35" s="29" t="str">
        <x:v>Near Vyas Campus, Kudi Haud, NH-65, Pali Road, Jodhpur, Rajasthan – 342005</x:v>
      </x:c>
      <x:c r="F35" s="32" t="str">
        <x:v>Verified</x:v>
      </x:c>
      <x:c r="G35" s="29" t="str"/>
      <x:c r="H35" s="29" t="str">
        <x:v>https://www.dpsjodhpur.org/</x:v>
      </x:c>
      <x:c r="I35" s="29" t="str">
        <x:v>https://www.google.com/maps/search/?api=1&amp;query=Delhi+Public+School+%28DPS%29%2C+Jodhpur%2C+Near+Vyas+Campus%2C+Kudi+Haud%2C+NH-65%2C+Pali+Road%2C+Jodhpur%2C+Rajasthan+%E2%80%93+342005</x:v>
      </x:c>
      <x:c r="J35" s="32" t="str">
        <x:v>Yes</x:v>
      </x:c>
    </x:row>
    <x:row r="36">
      <x:c r="A36" s="32" t="n">
        <x:v>32</x:v>
      </x:c>
      <x:c r="B36" s="29" t="str">
        <x:v>Sri Chaitanya Techno School</x:v>
      </x:c>
      <x:c r="C36" s="29" t="str">
        <x:v>Zone 2 – South</x:v>
      </x:c>
      <x:c r="D36" s="29" t="str">
        <x:v>Jhalamand</x:v>
      </x:c>
      <x:c r="E36" s="29" t="str">
        <x:v>Old Sardarsamand Road, Near Judicial Academy, Jhalamand, Jodhpur, Rajasthan – 342013</x:v>
      </x:c>
      <x:c r="F36" s="32" t="str">
        <x:v>Verified</x:v>
      </x:c>
      <x:c r="G36" s="29" t="str"/>
      <x:c r="H36" s="29" t="str">
        <x:v>https://www.srichaitanyaschool.co.in/contact-us</x:v>
      </x:c>
      <x:c r="I36" s="29" t="str">
        <x:v>https://www.google.com/maps/search/?api=1&amp;query=Sri+Chaitanya+Techno+School%2C+Old+Sardarsamand+Road%2C+Near+Judicial+Academy%2C+Jhalamand%2C+Jodhpur%2C+Rajasthan+%E2%80%93+342013</x:v>
      </x:c>
      <x:c r="J36" s="32" t="str">
        <x:v>Yes</x:v>
      </x:c>
    </x:row>
    <x:row r="37">
      <x:c r="A37" s="32" t="n">
        <x:v>33</x:v>
      </x:c>
      <x:c r="B37" s="29" t="str">
        <x:v>PM SHRI Kendriya Vidyalaya No. 1 (Army), Jodhpur</x:v>
      </x:c>
      <x:c r="C37" s="29" t="str">
        <x:v>Zone 3 – East &amp; Cantonment</x:v>
      </x:c>
      <x:c r="D37" s="29" t="str">
        <x:v>Military Area / Ajmer Road</x:v>
      </x:c>
      <x:c r="E37" s="29" t="str">
        <x:v>Military Area, Ajmer Road, Jodhpur, Rajasthan – 342015</x:v>
      </x:c>
      <x:c r="F37" s="32" t="str">
        <x:v>Verified</x:v>
      </x:c>
      <x:c r="G37" s="29" t="str"/>
      <x:c r="H37" s="29" t="str">
        <x:v>https://no1jodhpur.kvs.ac.in/en/</x:v>
      </x:c>
      <x:c r="I37" s="29" t="str">
        <x:v>https://www.google.com/maps/search/?api=1&amp;query=PM+SHRI+Kendriya+Vidyalaya+No.+1+%28Army%29%2C+Jodhpur%2C+Military+Area%2C+Ajmer+Road%2C+Jodhpur%2C+Rajasthan+%E2%80%93+342015</x:v>
      </x:c>
      <x:c r="J37" s="32" t="str">
        <x:v>Yes</x:v>
      </x:c>
    </x:row>
    <x:row r="38">
      <x:c r="A38" s="32" t="n">
        <x:v>34</x:v>
      </x:c>
      <x:c r="B38" s="29" t="str">
        <x:v>Career Point World School</x:v>
      </x:c>
      <x:c r="C38" s="29" t="str">
        <x:v>Zone 2 – South</x:v>
      </x:c>
      <x:c r="D38" s="29" t="str">
        <x:v>Jhalamand / Pali Bypass</x:v>
      </x:c>
      <x:c r="E38" s="29" t="str">
        <x:v>Vijayraje Nagar, Pali Bypass, Jhalamand, Jodhpur, Rajasthan – 342302</x:v>
      </x:c>
      <x:c r="F38" s="32" t="str">
        <x:v>Verified</x:v>
      </x:c>
      <x:c r="G38" s="29" t="str"/>
      <x:c r="H38" s="29" t="str">
        <x:v>https://cpwsjodhpur.com/</x:v>
      </x:c>
      <x:c r="I38" s="29" t="str">
        <x:v>https://www.google.com/maps/search/?api=1&amp;query=Career+Point+World+School%2C+Vijayraje+Nagar%2C+Pali+Bypass%2C+Jhalamand%2C+Jodhpur%2C+Rajasthan+%E2%80%93+342302</x:v>
      </x:c>
      <x:c r="J38" s="32" t="str">
        <x:v>Yes</x:v>
      </x:c>
    </x:row>
    <x:row r="39">
      <x:c r="A39" s="32" t="n">
        <x:v>35</x:v>
      </x:c>
      <x:c r="B39" s="29" t="str">
        <x:v>Saraswati Shishu Mandir Secondary School</x:v>
      </x:c>
      <x:c r="C39" s="29" t="str">
        <x:v>Zone 4 – North &amp; Outer-East</x:v>
      </x:c>
      <x:c r="D39" s="29" t="str">
        <x:v>Paota</x:v>
      </x:c>
      <x:c r="E39" s="29" t="str">
        <x:v>Paota locality, Near Diu Kirana Store, Jodhpur, Rajasthan</x:v>
      </x:c>
      <x:c r="F39" s="32" t="str">
        <x:v>Locality verified</x:v>
      </x:c>
      <x:c r="G39" s="29" t="str">
        <x:v>The original submission was incomplete ('Saraswati Shishu'); this is the closest matching Jodhpur school. Confirm before dispatch.</x:v>
      </x:c>
      <x:c r="H39" s="29" t="str">
        <x:v>https://www.justdial.com/Jodhpur/Saraswati-Shishu-Mandir-Secondary-School-Near-Diu-Kirana-Store-Paota/0291PX291-X291-171003005651-J5E8_BZDET</x:v>
      </x:c>
      <x:c r="I39" s="29" t="str">
        <x:v>https://www.google.com/maps/search/?api=1&amp;query=Saraswati+Shishu+Mandir+Secondary+School%2C+Paota+locality%2C+Near+Diu+Kirana+Store%2C+Jodhpur%2C+Rajasthan</x:v>
      </x:c>
      <x:c r="J39" s="32" t="str">
        <x:v>No</x:v>
      </x:c>
    </x:row>
    <x:row r="40">
      <x:c r="A40" s="32" t="n">
        <x:v>36</x:v>
      </x:c>
      <x:c r="B40" s="29" t="str">
        <x:v>Sri Aurobindo Centre of New Education</x:v>
      </x:c>
      <x:c r="C40" s="29" t="str">
        <x:v>Zone 1 – West &amp; Central-West</x:v>
      </x:c>
      <x:c r="D40" s="29" t="str">
        <x:v>Chokha / Pal Link Road</x:v>
      </x:c>
      <x:c r="E40" s="29" t="str">
        <x:v>Pal–Chopasni Link Road, Chokha Bypass, Near Lariya Resorts, Jodhpur, Rajasthan – 342009</x:v>
      </x:c>
      <x:c r="F40" s="32" t="str">
        <x:v>Verified</x:v>
      </x:c>
      <x:c r="G40" s="29" t="str">
        <x:v>Added as requested ('Aurbino School').</x:v>
      </x:c>
      <x:c r="H40" s="29" t="str">
        <x:v>https://sacne.in/</x:v>
      </x:c>
      <x:c r="I40" s="29" t="str">
        <x:v>https://www.google.com/maps/search/?api=1&amp;query=Sri+Aurobindo+Centre+of+New+Education%2C+Pal%E2%80%93Chopasni+Link+Road%2C+Chokha+Bypass%2C+Near+Lariya+Resorts%2C+Jodhpur%2C+Rajasthan+%E2%80%93+342009</x:v>
      </x:c>
      <x:c r="J40" s="32" t="str">
        <x:v>Yes</x:v>
      </x:c>
    </x:row>
    <x:row r="41">
      <x:c r="A41" s="32" t="n">
        <x:v>37</x:v>
      </x:c>
      <x:c r="B41" s="29" t="str">
        <x:v>Laxmi Devi Mundra Public School (LDM)</x:v>
      </x:c>
      <x:c r="C41" s="29" t="str">
        <x:v>Zone 1 – West &amp; Central-West</x:v>
      </x:c>
      <x:c r="D41" s="29" t="str">
        <x:v>Pratap Nagar</x:v>
      </x:c>
      <x:c r="E41" s="29" t="str">
        <x:v>E-Sector, Pratap Nagar, Jodhpur, Rajasthan – 342001</x:v>
      </x:c>
      <x:c r="F41" s="32" t="str">
        <x:v>Verified</x:v>
      </x:c>
      <x:c r="G41" s="29" t="str">
        <x:v>Added as requested.</x:v>
      </x:c>
      <x:c r="H41" s="29" t="str">
        <x:v>https://ldmpublicschool.com/</x:v>
      </x:c>
      <x:c r="I41" s="29" t="str">
        <x:v>https://www.google.com/maps/search/?api=1&amp;query=Laxmi+Devi+Mundra+Public+School+%28LDM%29%2C+E-Sector%2C+Pratap+Nagar%2C+Jodhpur%2C+Rajasthan+%E2%80%93+342001</x:v>
      </x:c>
      <x:c r="J41" s="32" t="str">
        <x:v>Yes</x:v>
      </x:c>
    </x:row>
  </x:sheetData>
  <x:mergeCells>
    <x:mergeCell ref="A1:J1"/>
    <x:mergeCell ref="A2:J2"/>
  </x:mergeCells>
  <x:conditionalFormatting sqref="F5:F41">
    <x:cfRule type="expression" dxfId="0" priority="1">
      <x:formula>OR(F5="Unverified",F5="Branch confirmation needed")</x:formula>
    </x:cfRule>
    <x:cfRule type="expression" dxfId="1" priority="2">
      <x:formula>OR(F5="Check PIN",F5="Locality verified",F5="Verified locality")</x:formula>
    </x:cfRule>
  </x:conditionalFormatting>
  <x:conditionalFormatting sqref="J5:J41">
    <x:cfRule type="expression" dxfId="2" priority="3">
      <x:formula>J5="No"</x:formula>
    </x:cfRule>
    <x:cfRule type="expression" dxfId="3" priority="4">
      <x:formula>J5="Yes"</x:formula>
    </x:cfRule>
  </x:conditionalFormatting>
  <x:dataValidations count="1">
    <x:dataValidation type="list" sqref="J5:J4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6ec22d6ba642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4" hidden="0" customWidth="1"/>
    <x:col min="3" max="3" width="58" hidden="0" customWidth="1"/>
    <x:col min="4" max="4" width="4" hidden="0" customWidth="1"/>
    <x:col min="5" max="5" width="27" hidden="0" customWidth="1"/>
    <x:col min="6" max="6" width="15" hidden="0" customWidth="1"/>
  </x:cols>
  <x:sheetData>
    <x:row r="1">
      <x:c r="A1" s="5" t="str">
        <x:v>Cup of Excellence 2026 – Zone Deployment Summary</x:v>
      </x:c>
      <x:c r="B1" s="5"/>
      <x:c r="C1" s="5"/>
      <x:c r="D1" s="5"/>
      <x:c r="E1" s="5"/>
      <x:c r="F1" s="5"/>
    </x:row>
    <x:row r="2">
      <x:c r="A2" s="35" t="str">
        <x:v>Use these zones for invitation delivery, qualifier coordination and route planning.</x:v>
      </x:c>
      <x:c r="B2" s="35"/>
      <x:c r="C2" s="35"/>
      <x:c r="D2" s="35"/>
      <x:c r="E2" s="35"/>
      <x:c r="F2" s="35"/>
    </x:row>
    <x:row r="4">
      <x:c r="A4" s="38" t="str">
        <x:v>Zone</x:v>
      </x:c>
      <x:c r="B4" s="38" t="str">
        <x:v>School Count</x:v>
      </x:c>
      <x:c r="C4" s="38" t="str">
        <x:v>Recommended Route Base</x:v>
      </x:c>
      <x:c r="E4" s="38" t="str">
        <x:v>KPI</x:v>
      </x:c>
      <x:c r="F4" s="38" t="str">
        <x:v>Value</x:v>
      </x:c>
    </x:row>
    <x:row r="5">
      <x:c r="A5" s="29" t="str">
        <x:v>Zone 1 – West &amp; Central-West</x:v>
      </x:c>
      <x:c r="B5" s="29" t="n">
        <x:f>COUNTIF('School Directory'!$C$5:$C$41,A5)</x:f>
        <x:v>11</x:v>
      </x:c>
      <x:c r="C5" s="29" t="str">
        <x:v>Shastri Nagar → Pratap Nagar → Chopasni → Pal/Chokha</x:v>
      </x:c>
      <x:c r="E5" s="29" t="str">
        <x:v>Raw submitted entries</x:v>
      </x:c>
      <x:c r="F5" s="29" t="n">
        <x:f>39</x:f>
        <x:v>39</x:v>
      </x:c>
    </x:row>
    <x:row r="6">
      <x:c r="A6" s="29" t="str">
        <x:v>Zone 2 – South</x:v>
      </x:c>
      <x:c r="B6" s="29" t="n">
        <x:f>COUNTIF('School Directory'!$C$5:$C$41,A6)</x:f>
        <x:v>8</x:v>
      </x:c>
      <x:c r="C6" s="29" t="str">
        <x:v>Basni → Kudi Bhagtasni → Jhalamand/Pali Road</x:v>
      </x:c>
      <x:c r="E6" s="29" t="str">
        <x:v>Duplicate entries removed</x:v>
      </x:c>
      <x:c r="F6" s="29" t="n">
        <x:f>2</x:f>
        <x:v>2</x:v>
      </x:c>
    </x:row>
    <x:row r="7">
      <x:c r="A7" s="29" t="str">
        <x:v>Zone 3 – East &amp; Cantonment</x:v>
      </x:c>
      <x:c r="B7" s="29" t="n">
        <x:f>COUNTIF('School Directory'!$C$5:$C$41,A7)</x:f>
        <x:v>11</x:v>
      </x:c>
      <x:c r="C7" s="29" t="str">
        <x:v>Ratanada → AFS/Military Area → Shikargarh → Uchiyarda</x:v>
      </x:c>
      <x:c r="E7" s="29" t="str">
        <x:v>New schools added</x:v>
      </x:c>
      <x:c r="F7" s="29" t="n">
        <x:f>2</x:f>
        <x:v>2</x:v>
      </x:c>
    </x:row>
    <x:row r="8">
      <x:c r="A8" s="29" t="str">
        <x:v>Zone 4 – North &amp; Outer-East</x:v>
      </x:c>
      <x:c r="B8" s="29" t="n">
        <x:f>COUNTIF('School Directory'!$C$5:$C$41,A8)</x:f>
        <x:v>6</x:v>
      </x:c>
      <x:c r="C8" s="29" t="str">
        <x:v>Paota/BJS → Bhadwasia/Mata Ka Than → Banar; Kharia Khangar separately</x:v>
      </x:c>
      <x:c r="E8" s="29" t="str">
        <x:v>Final unique schools</x:v>
      </x:c>
      <x:c r="F8" s="29" t="n">
        <x:f>COUNTA('School Directory'!B5:B41)</x:f>
        <x:v>37</x:v>
      </x:c>
    </x:row>
    <x:row r="9">
      <x:c r="A9" s="29" t="str">
        <x:v>Pending verification</x:v>
      </x:c>
      <x:c r="B9" s="29" t="n">
        <x:f>COUNTIF('School Directory'!$C$5:$C$41,A9)</x:f>
        <x:v>1</x:v>
      </x:c>
      <x:c r="C9" s="29" t="str">
        <x:v>Do not dispatch until identity/address is confirmed</x:v>
      </x:c>
      <x:c r="E9" s="29" t="str">
        <x:v>Dispatch-ready schools</x:v>
      </x:c>
      <x:c r="F9" s="29" t="n">
        <x:f>COUNTIF('School Directory'!J5:J41,"Yes")</x:f>
        <x:v>33</x:v>
      </x:c>
    </x:row>
    <x:row r="12">
      <x:c r="A12" s="41" t="str">
        <x:v>Critical Checks Before Printing Invitations</x:v>
      </x:c>
      <x:c r="B12" s="41"/>
      <x:c r="C12" s="41"/>
      <x:c r="D12" s="41"/>
      <x:c r="E12" s="41"/>
      <x:c r="F12" s="41"/>
    </x:row>
    <x:row r="13">
      <x:c r="A13" s="29" t="str">
        <x:v>1</x:v>
      </x:c>
      <x:c r="B13" s="29" t="str">
        <x:v>Nirmal Public School</x:v>
      </x:c>
      <x:c r="C13" s="29" t="str">
        <x:v>Exact Jodhpur campus could not be verified; hold dispatch.</x:v>
      </x:c>
      <x:c r="D13" s="29" t="str"/>
      <x:c r="E13" s="29" t="str"/>
      <x:c r="F13" s="29" t="str"/>
    </x:row>
    <x:row r="14">
      <x:c r="A14" s="29" t="str">
        <x:v>2</x:v>
      </x:c>
      <x:c r="B14" s="29" t="str">
        <x:v>Orchids Central School of Excellence</x:v>
      </x:c>
      <x:c r="C14" s="29" t="str">
        <x:v>Branch was not specified; Shastri Nagar is provisional.</x:v>
      </x:c>
      <x:c r="D14" s="29" t="str"/>
      <x:c r="E14" s="29" t="str"/>
      <x:c r="F14" s="29" t="str"/>
    </x:row>
    <x:row r="15">
      <x:c r="A15" s="29" t="str">
        <x:v>3</x:v>
      </x:c>
      <x:c r="B15" s="29" t="str">
        <x:v>Saraswati Shishu Mandir</x:v>
      </x:c>
      <x:c r="C15" s="29" t="str">
        <x:v>Submitted name was incomplete; Paota school is the closest match.</x:v>
      </x:c>
      <x:c r="D15" s="29" t="str"/>
      <x:c r="E15" s="29" t="str"/>
      <x:c r="F15" s="29" t="str"/>
    </x:row>
    <x:row r="16">
      <x:c r="A16" s="29" t="str">
        <x:v>4</x:v>
      </x:c>
      <x:c r="B16" s="29" t="str">
        <x:v>Aditya Birla Public School</x:v>
      </x:c>
      <x:c r="C16" s="29" t="str">
        <x:v>Kharia Khangar is outside urban Jodhpur; plan a separate visit.</x:v>
      </x:c>
      <x:c r="D16" s="29" t="str"/>
      <x:c r="E16" s="29" t="str"/>
      <x:c r="F16" s="29" t="str"/>
    </x:row>
  </x:sheetData>
  <x:mergeCells>
    <x:mergeCell ref="A1:F1"/>
    <x:mergeCell ref="A2:F2"/>
    <x:mergeCell ref="A12:F12"/>
  </x:mergeCells>
  <x:pageMargins left="0.7" right="0.7" top="0.75" bottom="0.75" header="0.3" footer="0.3"/>
  <x:drawing xmlns:r="http://schemas.openxmlformats.org/officeDocument/2006/relationships" r:id="R45046b821ce44c16"/>
</x:worksheet>
</file>